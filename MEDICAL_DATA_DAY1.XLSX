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db41d7782c265b/"/>
    </mc:Choice>
  </mc:AlternateContent>
  <xr:revisionPtr revIDLastSave="0" documentId="14_{01F1334A-D310-4164-8FEF-818434AA4E5B}" xr6:coauthVersionLast="47" xr6:coauthVersionMax="47" xr10:uidLastSave="{00000000-0000-0000-0000-000000000000}"/>
  <bookViews>
    <workbookView xWindow="-110" yWindow="-110" windowWidth="19420" windowHeight="11500" xr2:uid="{AA27757E-90AE-4E3C-82E4-E0E1DF773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B25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  <c r="E4" i="1"/>
  <c r="D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I4" i="1" s="1"/>
  <c r="B22" i="1"/>
  <c r="B23" i="1"/>
  <c r="B4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5" i="1"/>
  <c r="A4" i="1"/>
  <c r="B29" i="1" l="1"/>
  <c r="I8" i="1" s="1"/>
  <c r="B28" i="1"/>
  <c r="I7" i="1" s="1"/>
  <c r="B27" i="1"/>
  <c r="I6" i="1" s="1"/>
  <c r="B26" i="1"/>
  <c r="I5" i="1" s="1"/>
</calcChain>
</file>

<file path=xl/sharedStrings.xml><?xml version="1.0" encoding="utf-8"?>
<sst xmlns="http://schemas.openxmlformats.org/spreadsheetml/2006/main" count="29" uniqueCount="14">
  <si>
    <t>PATIENT_ID</t>
  </si>
  <si>
    <t>AGE</t>
  </si>
  <si>
    <t>GENDER</t>
  </si>
  <si>
    <t>BP</t>
  </si>
  <si>
    <t>SUGAR</t>
  </si>
  <si>
    <t>BILL</t>
  </si>
  <si>
    <t>TOTAL PATIENTS</t>
  </si>
  <si>
    <t>TOTALPATIENTS</t>
  </si>
  <si>
    <t>AVERAGE BP</t>
  </si>
  <si>
    <t>HIGHESTSUGAR</t>
  </si>
  <si>
    <t>LOWESTS BP</t>
  </si>
  <si>
    <t>TOTAL REVENUE</t>
  </si>
  <si>
    <t>HOSPITAL DASHBOARD</t>
  </si>
  <si>
    <t>LOWEST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</si>
</sst>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3" borderId="1" xfId="0" applyFont="1" applyFill="1" applyBorder="1"/>
    <xf numFmtId="0" fontId="0" fillId="4" borderId="1" xfId="0" applyFont="1" applyFill="1" applyBorder="1"/>
    <xf numFmtId="165" fontId="0" fillId="4" borderId="1" xfId="0" applyNumberFormat="1" applyFont="1" applyFill="1" applyBorder="1"/>
  </cellXfs>
  <cellStyles count="1">
    <cellStyle name="Normal" xfId="0" builtinId="0"/>
  </cellStyles>
  <dxfs count="15">
    <dxf>
      <font>
        <color rgb="FFFFC0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4251-5A7C-49F9-A18A-61D726A95E4A}">
  <dimension ref="A1:AVQ34"/>
  <sheetViews>
    <sheetView tabSelected="1" topLeftCell="A3" workbookViewId="0">
      <selection activeCell="N8" sqref="N8"/>
    </sheetView>
  </sheetViews>
  <sheetFormatPr defaultRowHeight="14.5" x14ac:dyDescent="0.35"/>
  <cols>
    <col min="1" max="1" width="14.81640625" customWidth="1"/>
    <col min="2" max="2" width="7.90625" customWidth="1"/>
    <col min="4" max="4" width="6.453125" customWidth="1"/>
    <col min="8" max="8" width="21.36328125" customWidth="1"/>
    <col min="9" max="9" width="11.7265625" bestFit="1" customWidth="1"/>
  </cols>
  <sheetData>
    <row r="1" spans="1:1265" s="1" customFormat="1" ht="11.5" hidden="1" customHeight="1" x14ac:dyDescent="0.35">
      <c r="A1" s="1" t="s">
        <v>0</v>
      </c>
      <c r="B1" s="2" t="s">
        <v>1</v>
      </c>
      <c r="C1" s="1" t="s">
        <v>2</v>
      </c>
      <c r="D1" s="3" t="s">
        <v>2</v>
      </c>
      <c r="E1" s="1" t="s">
        <v>4</v>
      </c>
      <c r="F1" s="1" t="s">
        <v>5</v>
      </c>
    </row>
    <row r="2" spans="1:1265" s="1" customFormat="1" ht="8.5" hidden="1" customHeight="1" x14ac:dyDescent="0.35">
      <c r="A2" s="1" t="s">
        <v>0</v>
      </c>
      <c r="B2" s="2" t="s">
        <v>1</v>
      </c>
      <c r="C2" s="1" t="s">
        <v>2</v>
      </c>
      <c r="D2" s="2" t="s">
        <v>3</v>
      </c>
      <c r="E2" s="1" t="s">
        <v>4</v>
      </c>
      <c r="F2" s="1" t="s">
        <v>5</v>
      </c>
    </row>
    <row r="3" spans="1:1265" s="3" customFormat="1" ht="14" customHeight="1" x14ac:dyDescent="0.35">
      <c r="A3" s="3" t="s">
        <v>0</v>
      </c>
      <c r="B3" s="4" t="s">
        <v>1</v>
      </c>
      <c r="C3" s="1" t="s">
        <v>2</v>
      </c>
      <c r="D3" s="4" t="s">
        <v>3</v>
      </c>
      <c r="E3" s="3" t="s">
        <v>4</v>
      </c>
      <c r="F3" s="3" t="s">
        <v>5</v>
      </c>
      <c r="H3" s="3" t="s">
        <v>12</v>
      </c>
    </row>
    <row r="4" spans="1:1265" s="1" customFormat="1" ht="11.5" customHeight="1" x14ac:dyDescent="0.35">
      <c r="A4" t="str">
        <f>"P"&amp;TEXT(ROW(A2)-1,"000")</f>
        <v>P001</v>
      </c>
      <c r="B4">
        <f ca="1">RANDBETWEEN(18,80)</f>
        <v>53</v>
      </c>
      <c r="C4" t="str">
        <f ca="1">IF(RANDBETWEEN(1,2)=1,"MALE","FEMALE")</f>
        <v>FEMALE</v>
      </c>
      <c r="D4">
        <f ca="1">RANDBETWEEN(90,180)</f>
        <v>94</v>
      </c>
      <c r="E4">
        <f ca="1">RANDBETWEEN(70,300)</f>
        <v>272</v>
      </c>
      <c r="F4">
        <f ca="1">RANDBETWEEN(2000,80000)</f>
        <v>71709</v>
      </c>
      <c r="G4"/>
      <c r="H4" s="5" t="s">
        <v>6</v>
      </c>
      <c r="I4" s="6">
        <f ca="1">B21</f>
        <v>48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</row>
    <row r="5" spans="1:1265" s="1" customFormat="1" ht="11.5" customHeight="1" x14ac:dyDescent="0.35">
      <c r="A5" t="str">
        <f>"P"&amp;TEXT(ROW(A3)-1,"000")</f>
        <v>P002</v>
      </c>
      <c r="B5">
        <f t="shared" ref="B5:B23" ca="1" si="0">RANDBETWEEN(18,80)</f>
        <v>39</v>
      </c>
      <c r="C5" t="str">
        <f t="shared" ref="C5:C23" ca="1" si="1">IF(RANDBETWEEN(1,2)=1,"MALE","FEMALE")</f>
        <v>FEMALE</v>
      </c>
      <c r="D5">
        <f t="shared" ref="D5:D23" ca="1" si="2">RANDBETWEEN(90,180)</f>
        <v>170</v>
      </c>
      <c r="E5">
        <f t="shared" ref="E5:E23" ca="1" si="3">RANDBETWEEN(70,300)</f>
        <v>93</v>
      </c>
      <c r="F5">
        <f t="shared" ref="F5:F23" ca="1" si="4">RANDBETWEEN(2000,80000)</f>
        <v>38334</v>
      </c>
      <c r="G5"/>
      <c r="H5" s="5" t="s">
        <v>8</v>
      </c>
      <c r="I5" s="6">
        <f ca="1">B26</f>
        <v>132.9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</row>
    <row r="6" spans="1:1265" s="1" customFormat="1" ht="11.5" customHeight="1" x14ac:dyDescent="0.35">
      <c r="A6" t="str">
        <f t="shared" ref="A6:A27" si="5">"P"&amp;TEXT(ROW(A4)-1,"000")</f>
        <v>P003</v>
      </c>
      <c r="B6">
        <f t="shared" ca="1" si="0"/>
        <v>62</v>
      </c>
      <c r="C6" t="str">
        <f t="shared" ca="1" si="1"/>
        <v>FEMALE</v>
      </c>
      <c r="D6">
        <f t="shared" ca="1" si="2"/>
        <v>122</v>
      </c>
      <c r="E6">
        <f t="shared" ca="1" si="3"/>
        <v>158</v>
      </c>
      <c r="F6">
        <f t="shared" ca="1" si="4"/>
        <v>48969</v>
      </c>
      <c r="G6"/>
      <c r="H6" s="5" t="s">
        <v>9</v>
      </c>
      <c r="I6" s="6">
        <f ca="1">B27</f>
        <v>296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</row>
    <row r="7" spans="1:1265" s="1" customFormat="1" ht="11.5" customHeight="1" x14ac:dyDescent="0.35">
      <c r="A7" t="str">
        <f t="shared" si="5"/>
        <v>P004</v>
      </c>
      <c r="B7">
        <f t="shared" ca="1" si="0"/>
        <v>64</v>
      </c>
      <c r="C7" t="str">
        <f t="shared" ca="1" si="1"/>
        <v>FEMALE</v>
      </c>
      <c r="D7">
        <f t="shared" ca="1" si="2"/>
        <v>121</v>
      </c>
      <c r="E7">
        <f t="shared" ca="1" si="3"/>
        <v>172</v>
      </c>
      <c r="F7">
        <f t="shared" ca="1" si="4"/>
        <v>72161</v>
      </c>
      <c r="G7"/>
      <c r="H7" s="5" t="s">
        <v>13</v>
      </c>
      <c r="I7" s="6">
        <f ca="1">B28</f>
        <v>94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</row>
    <row r="8" spans="1:1265" s="1" customFormat="1" ht="11.5" customHeight="1" x14ac:dyDescent="0.35">
      <c r="A8" t="str">
        <f t="shared" si="5"/>
        <v>P005</v>
      </c>
      <c r="B8">
        <f t="shared" ca="1" si="0"/>
        <v>35</v>
      </c>
      <c r="C8" t="str">
        <f t="shared" ca="1" si="1"/>
        <v>FEMALE</v>
      </c>
      <c r="D8">
        <f t="shared" ca="1" si="2"/>
        <v>95</v>
      </c>
      <c r="E8">
        <f t="shared" ca="1" si="3"/>
        <v>260</v>
      </c>
      <c r="F8">
        <f t="shared" ca="1" si="4"/>
        <v>47608</v>
      </c>
      <c r="G8"/>
      <c r="H8" s="5" t="s">
        <v>11</v>
      </c>
      <c r="I8" s="7">
        <f ca="1">B29</f>
        <v>982189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</row>
    <row r="9" spans="1:1265" s="1" customFormat="1" ht="11.5" customHeight="1" x14ac:dyDescent="0.35">
      <c r="A9" t="str">
        <f t="shared" si="5"/>
        <v>P006</v>
      </c>
      <c r="B9">
        <f t="shared" ca="1" si="0"/>
        <v>26</v>
      </c>
      <c r="C9" t="str">
        <f t="shared" ca="1" si="1"/>
        <v>FEMALE</v>
      </c>
      <c r="D9">
        <f t="shared" ca="1" si="2"/>
        <v>140</v>
      </c>
      <c r="E9">
        <f t="shared" ca="1" si="3"/>
        <v>180</v>
      </c>
      <c r="F9">
        <f t="shared" ca="1" si="4"/>
        <v>68280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</row>
    <row r="10" spans="1:1265" s="1" customFormat="1" ht="11.5" customHeight="1" x14ac:dyDescent="0.35">
      <c r="A10" t="str">
        <f t="shared" si="5"/>
        <v>P007</v>
      </c>
      <c r="B10">
        <f t="shared" ca="1" si="0"/>
        <v>37</v>
      </c>
      <c r="C10" t="str">
        <f t="shared" ca="1" si="1"/>
        <v>MALE</v>
      </c>
      <c r="D10">
        <f t="shared" ca="1" si="2"/>
        <v>164</v>
      </c>
      <c r="E10">
        <f t="shared" ca="1" si="3"/>
        <v>92</v>
      </c>
      <c r="F10">
        <f t="shared" ca="1" si="4"/>
        <v>55443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</row>
    <row r="11" spans="1:1265" s="1" customFormat="1" ht="11.5" customHeight="1" x14ac:dyDescent="0.35">
      <c r="A11" t="str">
        <f t="shared" si="5"/>
        <v>P008</v>
      </c>
      <c r="B11">
        <f t="shared" ca="1" si="0"/>
        <v>30</v>
      </c>
      <c r="C11" t="str">
        <f t="shared" ca="1" si="1"/>
        <v>FEMALE</v>
      </c>
      <c r="D11">
        <f t="shared" ca="1" si="2"/>
        <v>161</v>
      </c>
      <c r="E11">
        <f t="shared" ca="1" si="3"/>
        <v>196</v>
      </c>
      <c r="F11">
        <f t="shared" ca="1" si="4"/>
        <v>22839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</row>
    <row r="12" spans="1:1265" s="1" customFormat="1" ht="11.5" customHeight="1" x14ac:dyDescent="0.35">
      <c r="A12" t="str">
        <f t="shared" si="5"/>
        <v>P009</v>
      </c>
      <c r="B12">
        <f t="shared" ca="1" si="0"/>
        <v>76</v>
      </c>
      <c r="C12" t="str">
        <f t="shared" ca="1" si="1"/>
        <v>MALE</v>
      </c>
      <c r="D12">
        <f t="shared" ca="1" si="2"/>
        <v>132</v>
      </c>
      <c r="E12">
        <f t="shared" ca="1" si="3"/>
        <v>225</v>
      </c>
      <c r="F12">
        <f t="shared" ca="1" si="4"/>
        <v>64655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</row>
    <row r="13" spans="1:1265" s="1" customFormat="1" ht="11.5" customHeight="1" x14ac:dyDescent="0.35">
      <c r="A13" t="str">
        <f t="shared" si="5"/>
        <v>P010</v>
      </c>
      <c r="B13">
        <f t="shared" ca="1" si="0"/>
        <v>48</v>
      </c>
      <c r="C13" t="str">
        <f t="shared" ca="1" si="1"/>
        <v>FEMALE</v>
      </c>
      <c r="D13">
        <f t="shared" ca="1" si="2"/>
        <v>117</v>
      </c>
      <c r="E13">
        <f t="shared" ca="1" si="3"/>
        <v>282</v>
      </c>
      <c r="F13">
        <f t="shared" ca="1" si="4"/>
        <v>33366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</row>
    <row r="14" spans="1:1265" s="1" customFormat="1" ht="11.5" customHeight="1" x14ac:dyDescent="0.35">
      <c r="A14" t="str">
        <f t="shared" si="5"/>
        <v>P011</v>
      </c>
      <c r="B14">
        <f t="shared" ca="1" si="0"/>
        <v>24</v>
      </c>
      <c r="C14" t="str">
        <f t="shared" ca="1" si="1"/>
        <v>MALE</v>
      </c>
      <c r="D14">
        <f t="shared" ca="1" si="2"/>
        <v>108</v>
      </c>
      <c r="E14">
        <f t="shared" ca="1" si="3"/>
        <v>192</v>
      </c>
      <c r="F14">
        <f t="shared" ca="1" si="4"/>
        <v>10100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</row>
    <row r="15" spans="1:1265" s="1" customFormat="1" ht="11.5" customHeight="1" x14ac:dyDescent="0.35">
      <c r="A15" t="str">
        <f t="shared" si="5"/>
        <v>P012</v>
      </c>
      <c r="B15">
        <f t="shared" ca="1" si="0"/>
        <v>48</v>
      </c>
      <c r="C15" t="str">
        <f t="shared" ca="1" si="1"/>
        <v>MALE</v>
      </c>
      <c r="D15">
        <f t="shared" ca="1" si="2"/>
        <v>97</v>
      </c>
      <c r="E15">
        <f t="shared" ca="1" si="3"/>
        <v>126</v>
      </c>
      <c r="F15">
        <f t="shared" ca="1" si="4"/>
        <v>66004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</row>
    <row r="16" spans="1:1265" s="1" customFormat="1" ht="11.5" customHeight="1" x14ac:dyDescent="0.35">
      <c r="A16" t="str">
        <f t="shared" si="5"/>
        <v>P013</v>
      </c>
      <c r="B16">
        <f t="shared" ca="1" si="0"/>
        <v>29</v>
      </c>
      <c r="C16" t="str">
        <f t="shared" ca="1" si="1"/>
        <v>MALE</v>
      </c>
      <c r="D16">
        <f t="shared" ca="1" si="2"/>
        <v>102</v>
      </c>
      <c r="E16">
        <f t="shared" ca="1" si="3"/>
        <v>143</v>
      </c>
      <c r="F16">
        <f t="shared" ca="1" si="4"/>
        <v>41865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</row>
    <row r="17" spans="1:1265" s="1" customFormat="1" ht="11.5" customHeight="1" x14ac:dyDescent="0.35">
      <c r="A17" t="str">
        <f t="shared" si="5"/>
        <v>P014</v>
      </c>
      <c r="B17">
        <f t="shared" ca="1" si="0"/>
        <v>39</v>
      </c>
      <c r="C17" t="str">
        <f t="shared" ca="1" si="1"/>
        <v>MALE</v>
      </c>
      <c r="D17">
        <f t="shared" ca="1" si="2"/>
        <v>125</v>
      </c>
      <c r="E17">
        <f t="shared" ca="1" si="3"/>
        <v>85</v>
      </c>
      <c r="F17">
        <f t="shared" ca="1" si="4"/>
        <v>58741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</row>
    <row r="18" spans="1:1265" s="1" customFormat="1" ht="11.5" customHeight="1" x14ac:dyDescent="0.35">
      <c r="A18" t="str">
        <f t="shared" si="5"/>
        <v>P015</v>
      </c>
      <c r="B18">
        <f t="shared" ca="1" si="0"/>
        <v>34</v>
      </c>
      <c r="C18" t="str">
        <f t="shared" ca="1" si="1"/>
        <v>MALE</v>
      </c>
      <c r="D18">
        <f t="shared" ca="1" si="2"/>
        <v>166</v>
      </c>
      <c r="E18">
        <f t="shared" ca="1" si="3"/>
        <v>201</v>
      </c>
      <c r="F18">
        <f t="shared" ca="1" si="4"/>
        <v>16044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</row>
    <row r="19" spans="1:1265" s="1" customFormat="1" ht="11.5" customHeight="1" x14ac:dyDescent="0.35">
      <c r="A19" t="str">
        <f t="shared" si="5"/>
        <v>P016</v>
      </c>
      <c r="B19">
        <f t="shared" ca="1" si="0"/>
        <v>59</v>
      </c>
      <c r="C19" t="str">
        <f t="shared" ca="1" si="1"/>
        <v>MALE</v>
      </c>
      <c r="D19">
        <f t="shared" ca="1" si="2"/>
        <v>122</v>
      </c>
      <c r="E19">
        <f t="shared" ca="1" si="3"/>
        <v>200</v>
      </c>
      <c r="F19">
        <f t="shared" ca="1" si="4"/>
        <v>72575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</row>
    <row r="20" spans="1:1265" s="1" customFormat="1" ht="11.5" customHeight="1" x14ac:dyDescent="0.35">
      <c r="A20" t="str">
        <f t="shared" si="5"/>
        <v>P017</v>
      </c>
      <c r="B20">
        <f t="shared" ca="1" si="0"/>
        <v>62</v>
      </c>
      <c r="C20" t="str">
        <f t="shared" ca="1" si="1"/>
        <v>FEMALE</v>
      </c>
      <c r="D20">
        <f t="shared" ca="1" si="2"/>
        <v>137</v>
      </c>
      <c r="E20">
        <f t="shared" ca="1" si="3"/>
        <v>167</v>
      </c>
      <c r="F20">
        <f t="shared" ca="1" si="4"/>
        <v>39648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</row>
    <row r="21" spans="1:1265" s="1" customFormat="1" ht="11.5" customHeight="1" x14ac:dyDescent="0.35">
      <c r="A21" t="str">
        <f t="shared" si="5"/>
        <v>P018</v>
      </c>
      <c r="B21">
        <f t="shared" ca="1" si="0"/>
        <v>48</v>
      </c>
      <c r="C21" t="str">
        <f t="shared" ca="1" si="1"/>
        <v>MALE</v>
      </c>
      <c r="D21">
        <f t="shared" ca="1" si="2"/>
        <v>166</v>
      </c>
      <c r="E21">
        <f t="shared" ca="1" si="3"/>
        <v>296</v>
      </c>
      <c r="F21">
        <f t="shared" ca="1" si="4"/>
        <v>17741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</row>
    <row r="22" spans="1:1265" x14ac:dyDescent="0.35">
      <c r="A22" t="str">
        <f t="shared" si="5"/>
        <v>P019</v>
      </c>
      <c r="B22">
        <f t="shared" ca="1" si="0"/>
        <v>79</v>
      </c>
      <c r="C22" t="str">
        <f t="shared" ca="1" si="1"/>
        <v>MALE</v>
      </c>
      <c r="D22">
        <f t="shared" ca="1" si="2"/>
        <v>159</v>
      </c>
      <c r="E22">
        <f t="shared" ca="1" si="3"/>
        <v>109</v>
      </c>
      <c r="F22">
        <f t="shared" ca="1" si="4"/>
        <v>67030</v>
      </c>
    </row>
    <row r="23" spans="1:1265" x14ac:dyDescent="0.35">
      <c r="A23" t="str">
        <f t="shared" si="5"/>
        <v>P020</v>
      </c>
      <c r="B23">
        <f t="shared" ca="1" si="0"/>
        <v>76</v>
      </c>
      <c r="C23" t="str">
        <f t="shared" ca="1" si="1"/>
        <v>MALE</v>
      </c>
      <c r="D23">
        <f t="shared" ca="1" si="2"/>
        <v>160</v>
      </c>
      <c r="E23">
        <f t="shared" ca="1" si="3"/>
        <v>80</v>
      </c>
      <c r="F23">
        <f t="shared" ca="1" si="4"/>
        <v>69077</v>
      </c>
    </row>
    <row r="25" spans="1:1265" x14ac:dyDescent="0.35">
      <c r="A25" t="s">
        <v>7</v>
      </c>
      <c r="B25">
        <f>COUNTA(A3:A23)</f>
        <v>21</v>
      </c>
    </row>
    <row r="26" spans="1:1265" x14ac:dyDescent="0.35">
      <c r="A26" t="s">
        <v>8</v>
      </c>
      <c r="B26">
        <f ca="1">AVERAGE(D3:D23)</f>
        <v>132.9</v>
      </c>
    </row>
    <row r="27" spans="1:1265" x14ac:dyDescent="0.35">
      <c r="A27" t="s">
        <v>9</v>
      </c>
      <c r="B27">
        <f ca="1">MAX(E3:E23)</f>
        <v>296</v>
      </c>
    </row>
    <row r="28" spans="1:1265" x14ac:dyDescent="0.35">
      <c r="A28" t="s">
        <v>10</v>
      </c>
      <c r="B28">
        <f ca="1">MIN(D3:D23)</f>
        <v>94</v>
      </c>
    </row>
    <row r="29" spans="1:1265" x14ac:dyDescent="0.35">
      <c r="A29" t="s">
        <v>11</v>
      </c>
      <c r="B29">
        <f ca="1">SUM(F3:F23)</f>
        <v>982189</v>
      </c>
    </row>
    <row r="32" spans="1:1265" x14ac:dyDescent="0.35">
      <c r="F32" s="1"/>
    </row>
    <row r="33" spans="6:6" x14ac:dyDescent="0.35">
      <c r="F33" s="1"/>
    </row>
    <row r="34" spans="6:6" x14ac:dyDescent="0.35">
      <c r="F34" s="1"/>
    </row>
  </sheetData>
  <conditionalFormatting sqref="D4:D23">
    <cfRule type="cellIs" dxfId="8" priority="5" operator="greaterThan">
      <formula>140</formula>
    </cfRule>
    <cfRule type="cellIs" dxfId="7" priority="4" operator="lessThan">
      <formula>90</formula>
    </cfRule>
    <cfRule type="cellIs" dxfId="6" priority="3" operator="lessThan">
      <formula>90</formula>
    </cfRule>
    <cfRule type="cellIs" dxfId="5" priority="2" operator="between">
      <formula>90</formula>
      <formula>140</formula>
    </cfRule>
  </conditionalFormatting>
  <conditionalFormatting sqref="E4:E23">
    <cfRule type="cellIs" dxfId="0" priority="1" operator="greaterThan">
      <formula>200</formula>
    </cfRule>
  </conditionalFormatting>
  <dataValidations count="1">
    <dataValidation type="list" allowBlank="1" showInputMessage="1" showErrorMessage="1" sqref="H13 D1 C3" xr:uid="{E7F5C8FB-B475-41E8-AFC2-BC82605EAFE3}">
      <formula1>"MALE,FEMALE"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sahu</dc:creator>
  <cp:lastModifiedBy>Swati sahu</cp:lastModifiedBy>
  <dcterms:created xsi:type="dcterms:W3CDTF">2026-03-05T09:40:41Z</dcterms:created>
  <dcterms:modified xsi:type="dcterms:W3CDTF">2026-03-05T18:53:32Z</dcterms:modified>
</cp:coreProperties>
</file>